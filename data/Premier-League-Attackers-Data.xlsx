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h/Documents/Data Analytics/"/>
    </mc:Choice>
  </mc:AlternateContent>
  <xr:revisionPtr revIDLastSave="0" documentId="8_{6D424D91-4A67-6A48-9F37-3BDF67E1EDD0}" xr6:coauthVersionLast="47" xr6:coauthVersionMax="47" xr10:uidLastSave="{00000000-0000-0000-0000-000000000000}"/>
  <bookViews>
    <workbookView xWindow="820" yWindow="500" windowWidth="27980" windowHeight="16140" xr2:uid="{D73BF6F0-E06C-FF4A-A9E7-B31A6810D232}"/>
  </bookViews>
  <sheets>
    <sheet name="Raw Sta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</calcChain>
</file>

<file path=xl/sharedStrings.xml><?xml version="1.0" encoding="utf-8"?>
<sst xmlns="http://schemas.openxmlformats.org/spreadsheetml/2006/main" count="31" uniqueCount="31">
  <si>
    <t>Player</t>
  </si>
  <si>
    <t>Appearances</t>
  </si>
  <si>
    <t>Minutes</t>
  </si>
  <si>
    <t>Goals</t>
  </si>
  <si>
    <t>Assists</t>
  </si>
  <si>
    <t>Goals Per 90</t>
  </si>
  <si>
    <t>Minutes Per Goal</t>
  </si>
  <si>
    <t>Non Penalty Goals</t>
  </si>
  <si>
    <t>Hat Tricks</t>
  </si>
  <si>
    <t>Alan Shearer</t>
  </si>
  <si>
    <t>Thierry Henry</t>
  </si>
  <si>
    <t>Wayne Rooney</t>
  </si>
  <si>
    <t>Mohamed Salah</t>
  </si>
  <si>
    <t>Cristiano Ronaldo</t>
  </si>
  <si>
    <t>Sergio Aguero</t>
  </si>
  <si>
    <t>Erling Haaland</t>
  </si>
  <si>
    <t>Harry kane</t>
  </si>
  <si>
    <t>Luis Suarez</t>
  </si>
  <si>
    <t>Didier Drogba</t>
  </si>
  <si>
    <t>Micahel Owen</t>
  </si>
  <si>
    <t>Ruud van Nistelrooy</t>
  </si>
  <si>
    <t>Jamie Vardy</t>
  </si>
  <si>
    <t>Sadio Mane</t>
  </si>
  <si>
    <t>Robbie Fowler</t>
  </si>
  <si>
    <t>Dennis Bergkamp</t>
  </si>
  <si>
    <t>Frank Lampard</t>
  </si>
  <si>
    <t>Carlos Tevez</t>
  </si>
  <si>
    <t>Andrew Cole</t>
  </si>
  <si>
    <t>Robin van Persie</t>
  </si>
  <si>
    <t>Goal Contribution</t>
  </si>
  <si>
    <t>Goal Contributions Per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</si>
</sst>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3354D-BF7E-C146-A141-45D62B15C4D7}" name="Table1" displayName="Table1" ref="A1:K21" totalsRowShown="0" headerRowDxfId="4">
  <autoFilter ref="A1:K21" xr:uid="{B833354D-BF7E-C146-A141-45D62B15C4D7}"/>
  <tableColumns count="11">
    <tableColumn id="1" xr3:uid="{B2357CB4-F09B-BD47-A563-6F4BDD5E895B}" name="Player"/>
    <tableColumn id="2" xr3:uid="{36A4A63E-14C0-FA49-99B8-B70A86719261}" name="Appearances"/>
    <tableColumn id="3" xr3:uid="{D6333DB8-0128-3E42-8A75-793627CF2205}" name="Minutes"/>
    <tableColumn id="4" xr3:uid="{4FEA8106-F8B9-184F-B635-2A862B61D344}" name="Goals"/>
    <tableColumn id="5" xr3:uid="{FC9EFB1F-D5E5-3342-811E-8B774021F732}" name="Assists"/>
    <tableColumn id="14" xr3:uid="{F517C6A8-6EC9-5846-A7CD-2C8F0277FF3B}" name="Goal Contribution" dataDxfId="2">
      <calculatedColumnFormula>D2+E2</calculatedColumnFormula>
    </tableColumn>
    <tableColumn id="16" xr3:uid="{3AFB86EB-40FD-F948-B70C-57B75FE9E8F0}" name="Goal Contributions Per 90" dataDxfId="0">
      <calculatedColumnFormula>(F2/C2)*90</calculatedColumnFormula>
    </tableColumn>
    <tableColumn id="6" xr3:uid="{6AEBFC7A-B3D7-9A4C-9B6E-E7B76A588367}" name="Goals Per 90" dataDxfId="1">
      <calculatedColumnFormula>(D2/C2)*90</calculatedColumnFormula>
    </tableColumn>
    <tableColumn id="7" xr3:uid="{D2404FB5-CFB4-6440-8EEB-B78C205A87A8}" name="Minutes Per Goal" dataDxfId="3">
      <calculatedColumnFormula>C2/D2</calculatedColumnFormula>
    </tableColumn>
    <tableColumn id="8" xr3:uid="{7FA6DD31-7F99-C942-A54E-D691ECD01230}" name="Non Penalty Goals"/>
    <tableColumn id="9" xr3:uid="{7D92F7CF-6393-F441-B4FB-FDCF3D27CC4A}" name="Hat Trick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94A3-B2B9-EE4C-8C11-306E6A668CAD}">
  <dimension ref="A1:K21"/>
  <sheetViews>
    <sheetView tabSelected="1" workbookViewId="0">
      <pane xSplit="1" topLeftCell="B1" activePane="topRight" state="frozen"/>
      <selection pane="topRight" activeCell="I31" sqref="I31"/>
    </sheetView>
  </sheetViews>
  <sheetFormatPr baseColWidth="10" defaultColWidth="23" defaultRowHeight="16" x14ac:dyDescent="0.2"/>
  <cols>
    <col min="14" max="14" width="25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30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t="s">
        <v>9</v>
      </c>
      <c r="B2">
        <v>441</v>
      </c>
      <c r="C2" s="2">
        <v>38215</v>
      </c>
      <c r="D2">
        <v>260</v>
      </c>
      <c r="E2">
        <v>64</v>
      </c>
      <c r="F2">
        <f t="shared" ref="F2:F21" si="0">D2+E2</f>
        <v>324</v>
      </c>
      <c r="G2" s="3">
        <f t="shared" ref="G2:G21" si="1">(F2/C2)*90</f>
        <v>0.76305115792228184</v>
      </c>
      <c r="H2" s="3">
        <f t="shared" ref="H2:H21" si="2">(D2/C2)*90</f>
        <v>0.61232500327096695</v>
      </c>
      <c r="I2" s="3">
        <f t="shared" ref="I2:I21" si="3">C2/D2</f>
        <v>146.98076923076923</v>
      </c>
      <c r="J2">
        <v>204</v>
      </c>
      <c r="K2">
        <v>11</v>
      </c>
    </row>
    <row r="3" spans="1:11" x14ac:dyDescent="0.2">
      <c r="A3" t="s">
        <v>10</v>
      </c>
      <c r="B3">
        <v>258</v>
      </c>
      <c r="C3" s="2">
        <v>21301</v>
      </c>
      <c r="D3">
        <v>175</v>
      </c>
      <c r="E3">
        <v>74</v>
      </c>
      <c r="F3">
        <f t="shared" si="0"/>
        <v>249</v>
      </c>
      <c r="G3" s="3">
        <f t="shared" si="1"/>
        <v>1.0520632834139241</v>
      </c>
      <c r="H3" s="3">
        <f t="shared" si="2"/>
        <v>0.73940190601380218</v>
      </c>
      <c r="I3" s="3">
        <f t="shared" si="3"/>
        <v>121.72</v>
      </c>
      <c r="J3">
        <v>151</v>
      </c>
      <c r="K3">
        <v>8</v>
      </c>
    </row>
    <row r="4" spans="1:11" x14ac:dyDescent="0.2">
      <c r="A4" t="s">
        <v>11</v>
      </c>
      <c r="B4">
        <v>491</v>
      </c>
      <c r="C4" s="2">
        <v>37999</v>
      </c>
      <c r="D4">
        <v>208</v>
      </c>
      <c r="E4">
        <v>102</v>
      </c>
      <c r="F4">
        <f t="shared" si="0"/>
        <v>310</v>
      </c>
      <c r="G4" s="3">
        <f t="shared" si="1"/>
        <v>0.7342298481538988</v>
      </c>
      <c r="H4" s="3">
        <f t="shared" si="2"/>
        <v>0.49264454327745466</v>
      </c>
      <c r="I4" s="3">
        <f t="shared" si="3"/>
        <v>182.6875</v>
      </c>
      <c r="J4">
        <v>185</v>
      </c>
      <c r="K4">
        <v>7</v>
      </c>
    </row>
    <row r="5" spans="1:11" x14ac:dyDescent="0.2">
      <c r="A5" t="s">
        <v>12</v>
      </c>
      <c r="B5">
        <v>328</v>
      </c>
      <c r="C5" s="2">
        <v>26738</v>
      </c>
      <c r="D5">
        <v>193</v>
      </c>
      <c r="E5">
        <v>94</v>
      </c>
      <c r="F5">
        <f t="shared" si="0"/>
        <v>287</v>
      </c>
      <c r="G5" s="3">
        <f t="shared" si="1"/>
        <v>0.96604084075099117</v>
      </c>
      <c r="H5" s="3">
        <f t="shared" si="2"/>
        <v>0.64963722043533545</v>
      </c>
      <c r="I5" s="3">
        <f t="shared" si="3"/>
        <v>138.53886010362694</v>
      </c>
      <c r="J5">
        <v>158</v>
      </c>
      <c r="K5">
        <v>4</v>
      </c>
    </row>
    <row r="6" spans="1:11" x14ac:dyDescent="0.2">
      <c r="A6" t="s">
        <v>13</v>
      </c>
      <c r="B6">
        <v>236</v>
      </c>
      <c r="C6" s="2">
        <v>17515</v>
      </c>
      <c r="D6">
        <v>103</v>
      </c>
      <c r="E6">
        <v>37</v>
      </c>
      <c r="F6">
        <f t="shared" si="0"/>
        <v>140</v>
      </c>
      <c r="G6" s="3">
        <f t="shared" si="1"/>
        <v>0.71938338566942617</v>
      </c>
      <c r="H6" s="3">
        <f t="shared" si="2"/>
        <v>0.52926063374250643</v>
      </c>
      <c r="I6" s="3">
        <f t="shared" si="3"/>
        <v>170.04854368932038</v>
      </c>
      <c r="J6">
        <v>89</v>
      </c>
      <c r="K6">
        <v>3</v>
      </c>
    </row>
    <row r="7" spans="1:11" x14ac:dyDescent="0.2">
      <c r="A7" t="s">
        <v>14</v>
      </c>
      <c r="B7">
        <v>275</v>
      </c>
      <c r="C7" s="2">
        <v>19771</v>
      </c>
      <c r="D7">
        <v>184</v>
      </c>
      <c r="E7">
        <v>48</v>
      </c>
      <c r="F7">
        <f t="shared" si="0"/>
        <v>232</v>
      </c>
      <c r="G7" s="3">
        <f t="shared" si="1"/>
        <v>1.0560922563350361</v>
      </c>
      <c r="H7" s="3">
        <f t="shared" si="2"/>
        <v>0.83759041019675284</v>
      </c>
      <c r="I7" s="3">
        <f t="shared" si="3"/>
        <v>107.45108695652173</v>
      </c>
      <c r="J7">
        <v>157</v>
      </c>
      <c r="K7">
        <v>12</v>
      </c>
    </row>
    <row r="8" spans="1:11" x14ac:dyDescent="0.2">
      <c r="A8" t="s">
        <v>15</v>
      </c>
      <c r="B8">
        <v>132</v>
      </c>
      <c r="C8" s="2">
        <v>11010</v>
      </c>
      <c r="D8">
        <v>112</v>
      </c>
      <c r="E8">
        <v>24</v>
      </c>
      <c r="F8">
        <f t="shared" si="0"/>
        <v>136</v>
      </c>
      <c r="G8" s="3">
        <f t="shared" si="1"/>
        <v>1.111716621253406</v>
      </c>
      <c r="H8" s="3">
        <f t="shared" si="2"/>
        <v>0.91553133514986373</v>
      </c>
      <c r="I8" s="3">
        <f t="shared" si="3"/>
        <v>98.303571428571431</v>
      </c>
      <c r="J8">
        <v>92</v>
      </c>
      <c r="K8">
        <v>8</v>
      </c>
    </row>
    <row r="9" spans="1:11" x14ac:dyDescent="0.2">
      <c r="A9" t="s">
        <v>16</v>
      </c>
      <c r="B9">
        <v>320</v>
      </c>
      <c r="C9" s="2">
        <v>26909</v>
      </c>
      <c r="D9">
        <v>213</v>
      </c>
      <c r="E9">
        <v>44</v>
      </c>
      <c r="F9">
        <f t="shared" si="0"/>
        <v>257</v>
      </c>
      <c r="G9" s="3">
        <f t="shared" si="1"/>
        <v>0.85956371474227944</v>
      </c>
      <c r="H9" s="3">
        <f t="shared" si="2"/>
        <v>0.71240105540897103</v>
      </c>
      <c r="I9" s="3">
        <f t="shared" si="3"/>
        <v>126.33333333333333</v>
      </c>
      <c r="J9">
        <v>180</v>
      </c>
      <c r="K9">
        <v>8</v>
      </c>
    </row>
    <row r="10" spans="1:11" x14ac:dyDescent="0.2">
      <c r="A10" t="s">
        <v>17</v>
      </c>
      <c r="B10">
        <v>110</v>
      </c>
      <c r="C10" s="2">
        <v>9559</v>
      </c>
      <c r="D10">
        <v>69</v>
      </c>
      <c r="E10">
        <v>23</v>
      </c>
      <c r="F10">
        <f t="shared" si="0"/>
        <v>92</v>
      </c>
      <c r="G10" s="3">
        <f t="shared" si="1"/>
        <v>0.86619939324197082</v>
      </c>
      <c r="H10" s="3">
        <f t="shared" si="2"/>
        <v>0.6496495449314782</v>
      </c>
      <c r="I10" s="3">
        <f t="shared" si="3"/>
        <v>138.53623188405797</v>
      </c>
      <c r="J10">
        <v>69</v>
      </c>
      <c r="K10">
        <v>6</v>
      </c>
    </row>
    <row r="11" spans="1:11" x14ac:dyDescent="0.2">
      <c r="A11" t="s">
        <v>18</v>
      </c>
      <c r="B11">
        <v>254</v>
      </c>
      <c r="C11" s="2">
        <v>17549</v>
      </c>
      <c r="D11">
        <v>104</v>
      </c>
      <c r="E11">
        <v>55</v>
      </c>
      <c r="F11">
        <f t="shared" si="0"/>
        <v>159</v>
      </c>
      <c r="G11" s="3">
        <f t="shared" si="1"/>
        <v>0.8154310786939426</v>
      </c>
      <c r="H11" s="3">
        <f t="shared" si="2"/>
        <v>0.53336372442874236</v>
      </c>
      <c r="I11" s="3">
        <f t="shared" si="3"/>
        <v>168.74038461538461</v>
      </c>
      <c r="J11">
        <v>100</v>
      </c>
      <c r="K11">
        <v>3</v>
      </c>
    </row>
    <row r="12" spans="1:11" x14ac:dyDescent="0.2">
      <c r="A12" t="s">
        <v>28</v>
      </c>
      <c r="B12">
        <v>280</v>
      </c>
      <c r="C12" s="2">
        <v>20102</v>
      </c>
      <c r="D12">
        <v>144</v>
      </c>
      <c r="E12">
        <v>53</v>
      </c>
      <c r="F12">
        <f t="shared" si="0"/>
        <v>197</v>
      </c>
      <c r="G12" s="3">
        <f t="shared" si="1"/>
        <v>0.88200179086658048</v>
      </c>
      <c r="H12" s="3">
        <f t="shared" si="2"/>
        <v>0.64471196895831262</v>
      </c>
      <c r="I12" s="3">
        <f t="shared" si="3"/>
        <v>139.59722222222223</v>
      </c>
      <c r="J12">
        <v>129</v>
      </c>
      <c r="K12">
        <v>5</v>
      </c>
    </row>
    <row r="13" spans="1:11" x14ac:dyDescent="0.2">
      <c r="A13" t="s">
        <v>19</v>
      </c>
      <c r="B13">
        <v>326</v>
      </c>
      <c r="C13" s="2">
        <v>23034</v>
      </c>
      <c r="D13">
        <v>150</v>
      </c>
      <c r="E13">
        <v>31</v>
      </c>
      <c r="F13">
        <f t="shared" si="0"/>
        <v>181</v>
      </c>
      <c r="G13" s="3">
        <f t="shared" si="1"/>
        <v>0.70721542068246934</v>
      </c>
      <c r="H13" s="3">
        <f t="shared" si="2"/>
        <v>0.58609012763740553</v>
      </c>
      <c r="I13" s="3">
        <f t="shared" si="3"/>
        <v>153.56</v>
      </c>
      <c r="J13">
        <v>136</v>
      </c>
      <c r="K13">
        <v>8</v>
      </c>
    </row>
    <row r="14" spans="1:11" x14ac:dyDescent="0.2">
      <c r="A14" t="s">
        <v>20</v>
      </c>
      <c r="B14">
        <v>150</v>
      </c>
      <c r="C14" s="2">
        <v>12151</v>
      </c>
      <c r="D14">
        <v>95</v>
      </c>
      <c r="E14">
        <v>14</v>
      </c>
      <c r="F14">
        <f t="shared" si="0"/>
        <v>109</v>
      </c>
      <c r="G14" s="3">
        <f t="shared" si="1"/>
        <v>0.80734095959180319</v>
      </c>
      <c r="H14" s="3">
        <f t="shared" si="2"/>
        <v>0.70364579046992015</v>
      </c>
      <c r="I14" s="3">
        <f t="shared" si="3"/>
        <v>127.90526315789474</v>
      </c>
      <c r="J14">
        <v>76</v>
      </c>
      <c r="K14">
        <v>5</v>
      </c>
    </row>
    <row r="15" spans="1:11" x14ac:dyDescent="0.2">
      <c r="A15" t="s">
        <v>21</v>
      </c>
      <c r="B15">
        <v>342</v>
      </c>
      <c r="C15" s="2">
        <v>26507</v>
      </c>
      <c r="D15">
        <v>145</v>
      </c>
      <c r="E15">
        <v>47</v>
      </c>
      <c r="F15">
        <f t="shared" si="0"/>
        <v>192</v>
      </c>
      <c r="G15" s="3">
        <f t="shared" si="1"/>
        <v>0.65190327083411925</v>
      </c>
      <c r="H15" s="3">
        <f t="shared" si="2"/>
        <v>0.49232278266118384</v>
      </c>
      <c r="I15" s="3">
        <f t="shared" si="3"/>
        <v>182.80689655172415</v>
      </c>
      <c r="J15">
        <v>118</v>
      </c>
      <c r="K15">
        <v>3</v>
      </c>
    </row>
    <row r="16" spans="1:11" x14ac:dyDescent="0.2">
      <c r="A16" t="s">
        <v>22</v>
      </c>
      <c r="B16">
        <v>263</v>
      </c>
      <c r="C16" s="2">
        <v>20604</v>
      </c>
      <c r="D16">
        <v>111</v>
      </c>
      <c r="E16">
        <v>38</v>
      </c>
      <c r="F16">
        <f t="shared" si="0"/>
        <v>149</v>
      </c>
      <c r="G16" s="3">
        <f t="shared" si="1"/>
        <v>0.65084449621432727</v>
      </c>
      <c r="H16" s="3">
        <f t="shared" si="2"/>
        <v>0.48485730926033782</v>
      </c>
      <c r="I16" s="3">
        <f t="shared" si="3"/>
        <v>185.62162162162161</v>
      </c>
      <c r="J16">
        <v>111</v>
      </c>
      <c r="K16">
        <v>2</v>
      </c>
    </row>
    <row r="17" spans="1:11" x14ac:dyDescent="0.2">
      <c r="A17" t="s">
        <v>23</v>
      </c>
      <c r="B17">
        <v>379</v>
      </c>
      <c r="C17" s="2">
        <v>27948</v>
      </c>
      <c r="D17">
        <v>163</v>
      </c>
      <c r="E17">
        <v>39</v>
      </c>
      <c r="F17">
        <f t="shared" si="0"/>
        <v>202</v>
      </c>
      <c r="G17" s="3">
        <f t="shared" si="1"/>
        <v>0.65049377415199661</v>
      </c>
      <c r="H17" s="3">
        <f t="shared" si="2"/>
        <v>0.52490339201373981</v>
      </c>
      <c r="I17" s="3">
        <f t="shared" si="3"/>
        <v>171.46012269938652</v>
      </c>
      <c r="J17">
        <v>139</v>
      </c>
      <c r="K17">
        <v>9</v>
      </c>
    </row>
    <row r="18" spans="1:11" x14ac:dyDescent="0.2">
      <c r="A18" t="s">
        <v>24</v>
      </c>
      <c r="B18">
        <v>315</v>
      </c>
      <c r="C18" s="2">
        <v>22178</v>
      </c>
      <c r="D18">
        <v>87</v>
      </c>
      <c r="E18">
        <v>94</v>
      </c>
      <c r="F18">
        <f t="shared" si="0"/>
        <v>181</v>
      </c>
      <c r="G18" s="3">
        <f t="shared" si="1"/>
        <v>0.73451167823969687</v>
      </c>
      <c r="H18" s="3">
        <f t="shared" si="2"/>
        <v>0.35305257462350081</v>
      </c>
      <c r="I18" s="3">
        <f t="shared" si="3"/>
        <v>254.91954022988506</v>
      </c>
      <c r="J18">
        <v>80</v>
      </c>
      <c r="K18">
        <v>1</v>
      </c>
    </row>
    <row r="19" spans="1:11" x14ac:dyDescent="0.2">
      <c r="A19" t="s">
        <v>25</v>
      </c>
      <c r="B19">
        <v>609</v>
      </c>
      <c r="C19" s="2">
        <v>48872</v>
      </c>
      <c r="D19">
        <v>177</v>
      </c>
      <c r="E19">
        <v>102</v>
      </c>
      <c r="F19">
        <f t="shared" si="0"/>
        <v>279</v>
      </c>
      <c r="G19" s="3">
        <f t="shared" si="1"/>
        <v>0.51379112784416436</v>
      </c>
      <c r="H19" s="3">
        <f t="shared" si="2"/>
        <v>0.32595351121296451</v>
      </c>
      <c r="I19" s="3">
        <f t="shared" si="3"/>
        <v>276.11299435028246</v>
      </c>
      <c r="J19">
        <v>134</v>
      </c>
      <c r="K19">
        <v>3</v>
      </c>
    </row>
    <row r="20" spans="1:11" x14ac:dyDescent="0.2">
      <c r="A20" t="s">
        <v>26</v>
      </c>
      <c r="B20">
        <v>202</v>
      </c>
      <c r="C20" s="2">
        <v>14597</v>
      </c>
      <c r="D20">
        <v>84</v>
      </c>
      <c r="E20">
        <v>36</v>
      </c>
      <c r="F20">
        <f t="shared" si="0"/>
        <v>120</v>
      </c>
      <c r="G20" s="3">
        <f t="shared" si="1"/>
        <v>0.73987805713502774</v>
      </c>
      <c r="H20" s="3">
        <f t="shared" si="2"/>
        <v>0.51791463999451948</v>
      </c>
      <c r="I20" s="3">
        <f t="shared" si="3"/>
        <v>173.77380952380952</v>
      </c>
      <c r="J20">
        <v>71</v>
      </c>
      <c r="K20">
        <v>4</v>
      </c>
    </row>
    <row r="21" spans="1:11" x14ac:dyDescent="0.2">
      <c r="A21" t="s">
        <v>27</v>
      </c>
      <c r="B21">
        <v>414</v>
      </c>
      <c r="C21" s="2">
        <v>31618</v>
      </c>
      <c r="D21">
        <v>187</v>
      </c>
      <c r="E21">
        <v>74</v>
      </c>
      <c r="F21">
        <f t="shared" si="0"/>
        <v>261</v>
      </c>
      <c r="G21" s="3">
        <f t="shared" si="1"/>
        <v>0.74293124169776714</v>
      </c>
      <c r="H21" s="3">
        <f t="shared" si="2"/>
        <v>0.53229173255740403</v>
      </c>
      <c r="I21" s="3">
        <f t="shared" si="3"/>
        <v>169.08021390374333</v>
      </c>
      <c r="J21">
        <v>161</v>
      </c>
      <c r="K2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Micah Vandenberg</dc:creator>
  <cp:lastModifiedBy>Micah Vandenberg</cp:lastModifiedBy>
  <dcterms:created xsi:type="dcterms:W3CDTF">2026-07-24T21:52:42Z</dcterms:created>
  <dcterms:modified xsi:type="dcterms:W3CDTF">2026-07-25T18:08:30Z</dcterms:modified>
</cp:coreProperties>
</file>